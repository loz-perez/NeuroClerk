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" sheetId="1" state="visible" r:id="rId3"/>
    <sheet name="Resumen" sheetId="2" state="visible" r:id="rId4"/>
    <sheet name="Historial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<sst xmlns="http://schemas.openxmlformats.org/spreadsheetml/2006/main" count="255" uniqueCount="138">
  <si>
    <t xml:space="preserve">Casos de prueba de NeuroClerk (probar_rag.py)</t>
  </si>
  <si>
    <t xml:space="preserve">Cómo usarla: las columnas grises describen cada caso y salen de probar_rag.py. Completa las columnas amarillas (Tabla, Fuente, Respuesta) con OK, FALLA o ERROR después de correr 'python probar_rag.py --llm'. 'N/A' cuando el caso no mide esa columna.</t>
  </si>
  <si>
    <t xml:space="preserve">Resultados: línea de base del 27/10/2026, 59 documentos, proveedor Gemini.</t>
  </si>
  <si>
    <t xml:space="preserve">N.º</t>
  </si>
  <si>
    <t xml:space="preserve">Grupo</t>
  </si>
  <si>
    <t xml:space="preserve">Tipo</t>
  </si>
  <si>
    <t xml:space="preserve">Pregunta</t>
  </si>
  <si>
    <t xml:space="preserve">Fuentes aceptadas</t>
  </si>
  <si>
    <t xml:space="preserve">Tabla esperada</t>
  </si>
  <si>
    <t xml:space="preserve">Qué se comprueba en la respuesta</t>
  </si>
  <si>
    <t xml:space="preserve">Verificado (--verificar)</t>
  </si>
  <si>
    <t xml:space="preserve">Tabla</t>
  </si>
  <si>
    <t xml:space="preserve">Fuente</t>
  </si>
  <si>
    <t xml:space="preserve">Respuesta</t>
  </si>
  <si>
    <t xml:space="preserve">Notas</t>
  </si>
  <si>
    <t xml:space="preserve">Interacciones (tabla)</t>
  </si>
  <si>
    <t xml:space="preserve">¿Qué fármacos pueden causar síndrome neuroléptico maligno?</t>
  </si>
  <si>
    <t xml:space="preserve">Interacciones_Farmacologicas_SEFH.pdf</t>
  </si>
  <si>
    <t xml:space="preserve">Pág. 9: Tabla 1. Fármacos que pueden causar Síndrome Neuroléptico Maligno</t>
  </si>
  <si>
    <t xml:space="preserve">Menciona alguna de: pergolida, tiopropenazina, tolcapona</t>
  </si>
  <si>
    <t xml:space="preserve">OK (--verificar, 27/10/2026)</t>
  </si>
  <si>
    <t xml:space="preserve">OK</t>
  </si>
  <si>
    <t xml:space="preserve">Tabla en el puesto 1 (0.909). Nombra fármacos que solo están en la tabla.</t>
  </si>
  <si>
    <t xml:space="preserve">¿Qué fármacos pueden causar síndrome serotoninérgico?</t>
  </si>
  <si>
    <t xml:space="preserve">Pág. 10: Tabla 2. Fármacos que pueden causar Síndrome Serotoninérgico</t>
  </si>
  <si>
    <t xml:space="preserve">Menciona alguna de: dapoxetina, metiltionina, tapentadol</t>
  </si>
  <si>
    <t xml:space="preserve">Tabla en el puesto 1 (0.906).</t>
  </si>
  <si>
    <t xml:space="preserve">¿Qué fármacos pueden prolongar el segmento QT?</t>
  </si>
  <si>
    <t xml:space="preserve">Pág. 11: Tabla 3. Fármacos que pueden prolongar el segmento QT</t>
  </si>
  <si>
    <t xml:space="preserve">Menciona alguna de: ebastina, retigabina, piperaquina, eribulina</t>
  </si>
  <si>
    <t xml:space="preserve">Tabla en el puesto 5 (0.881).</t>
  </si>
  <si>
    <t xml:space="preserve">¿Qué interacción tienen los IECA con el litio?</t>
  </si>
  <si>
    <t xml:space="preserve">Interacciones_Farmacologicas_SEFH.pdf, FT_Litio.pdf, FT_Enalapril.pdf</t>
  </si>
  <si>
    <t xml:space="preserve">Pág. 177: Tabla 5. Interacciones farmacocinéticas de IECA</t>
  </si>
  <si>
    <t xml:space="preserve">Menciona alguna de: toxicidad, concentraci, nivel</t>
  </si>
  <si>
    <t xml:space="preserve">Tabla en el puesto 1; fue el único fragmento que pasó el filtro.</t>
  </si>
  <si>
    <t xml:space="preserve">¿Qué isoenzimas del citocromo P450 metabolizan la clozapina?</t>
  </si>
  <si>
    <t xml:space="preserve">Interacciones_Farmacologicas_SEFH.pdf, FT_Clozapina.pdf</t>
  </si>
  <si>
    <t xml:space="preserve">Pág. 265: Tabla 7. Isoformas del citocromo P450</t>
  </si>
  <si>
    <t xml:space="preserve">Menciona alguna de: cyp1a2, 1a2</t>
  </si>
  <si>
    <t xml:space="preserve">Tabla en el puesto 1, pero cinco filas de la Tabla 2 (pág. 254) ocupan el contexto.</t>
  </si>
  <si>
    <t xml:space="preserve">¿Cómo se metaboliza el alprazolam?</t>
  </si>
  <si>
    <t xml:space="preserve">Interacciones_Farmacologicas_SEFH.pdf, FT_Alprazolam.pdf</t>
  </si>
  <si>
    <t xml:space="preserve">Pág. 268: Tabla 9. Metabolismo de las benzodiazepinas</t>
  </si>
  <si>
    <t xml:space="preserve">Menciona alguna de: cyp3a4, 3a4</t>
  </si>
  <si>
    <t xml:space="preserve">Tabla en el puesto 2; la ficha del alprazolam, primera.</t>
  </si>
  <si>
    <t xml:space="preserve">¿Qué fármacos son inhibidores del CYP2D6?</t>
  </si>
  <si>
    <t xml:space="preserve">Pág. 20: Tabla 6. Sustratos e inhibidores del CYP2D6</t>
  </si>
  <si>
    <t xml:space="preserve">Menciona alguna de: imatinib, pazopanib, cinacalcet</t>
  </si>
  <si>
    <t xml:space="preserve">Tabla en el puesto 9 de 10: entra justo.</t>
  </si>
  <si>
    <t xml:space="preserve">Ficha: dosis</t>
  </si>
  <si>
    <t xml:space="preserve">¿Cuál es la dosis inicial de sertralina en el tratamiento de la depresión?</t>
  </si>
  <si>
    <t xml:space="preserve">FT_Sertralina.pdf</t>
  </si>
  <si>
    <t xml:space="preserve">—</t>
  </si>
  <si>
    <t xml:space="preserve">Menciona alguna de: 50 mg</t>
  </si>
  <si>
    <t xml:space="preserve">N/A</t>
  </si>
  <si>
    <t xml:space="preserve">Ficha en el puesto 1; menciona 50 mg.</t>
  </si>
  <si>
    <t xml:space="preserve">Ficha: seguridad</t>
  </si>
  <si>
    <t xml:space="preserve">¿Qué controles de sangre requiere el tratamiento con clozapina?</t>
  </si>
  <si>
    <t xml:space="preserve">FT_Clozapina.pdf</t>
  </si>
  <si>
    <t xml:space="preserve">Menciona alguna de: neutrofilos, leucocitos</t>
  </si>
  <si>
    <t xml:space="preserve">FALLA</t>
  </si>
  <si>
    <t xml:space="preserve">Fallo de la prueba: la ficha usa la sigla RAN. Agregar 'ran' y 'recuento' a las claves.</t>
  </si>
  <si>
    <t xml:space="preserve">Ficha: niveles</t>
  </si>
  <si>
    <t xml:space="preserve">¿Qué concentraciones de litio en sangre se consideran terapéuticas?</t>
  </si>
  <si>
    <t xml:space="preserve">FT_Litio.pdf</t>
  </si>
  <si>
    <t xml:space="preserve">Menciona alguna de: meq, mmol</t>
  </si>
  <si>
    <t xml:space="preserve">Menciona mEq.</t>
  </si>
  <si>
    <t xml:space="preserve">Diagnóstico (DSM)</t>
  </si>
  <si>
    <t xml:space="preserve">¿Cuánto tiempo deben durar los síntomas para diagnosticar un episodio de depresión mayor?</t>
  </si>
  <si>
    <t xml:space="preserve">DSM-5-TR.pdf</t>
  </si>
  <si>
    <t xml:space="preserve">Menciona alguna de: dos semanas, 2 semanas</t>
  </si>
  <si>
    <t xml:space="preserve">DSM pág. 213 en el puesto 1; menciona 'dos semanas'.</t>
  </si>
  <si>
    <t xml:space="preserve">Diagnóstico (CIE-11)</t>
  </si>
  <si>
    <t xml:space="preserve">¿Qué código tiene la esquizofrenia en la clasificación internacional de enfermedades?</t>
  </si>
  <si>
    <t xml:space="preserve">CIE-11.pdf</t>
  </si>
  <si>
    <t xml:space="preserve">Menciona alguna de: 6a20</t>
  </si>
  <si>
    <t xml:space="preserve">AVISO: ninguna clave aparece en su fuente</t>
  </si>
  <si>
    <t xml:space="preserve">Caso mal armado: '6a20' no está en la guía de referencia de la CIE-11. Reemplazar la pregunta. El modelo respondió que el contexto no alcanzaba.</t>
  </si>
  <si>
    <t xml:space="preserve">Guía (mhGAP)</t>
  </si>
  <si>
    <t xml:space="preserve">¿Qué antidepresivos se recomiendan para tratar la depresión en atención primaria?</t>
  </si>
  <si>
    <t xml:space="preserve">Guia_mhGAP.pdf</t>
  </si>
  <si>
    <t xml:space="preserve">Menciona alguna de: fluoxetina, amitriptilina</t>
  </si>
  <si>
    <t xml:space="preserve">Fallo real: siete filas de la Tabla 1 del libro coparon el contexto; el Cuadro 1 de la mhGAP llegó 9.º y 10.º.</t>
  </si>
  <si>
    <t xml:space="preserve">Formulario (MSP)</t>
  </si>
  <si>
    <t xml:space="preserve">¿Qué antipsicóticos están disponibles en el formulario terapéutico de Uruguay?</t>
  </si>
  <si>
    <t xml:space="preserve">Formulario_Terapeutico_de_Medicamentos.pdf</t>
  </si>
  <si>
    <t xml:space="preserve">Menciona alguna de: haloperidol, risperidona</t>
  </si>
  <si>
    <t xml:space="preserve">Fallo real: filas de tablas del libro coparon el contexto; del Formulario solo llegó la portada.</t>
  </si>
  <si>
    <t xml:space="preserve">CYP (Flockhart)</t>
  </si>
  <si>
    <t xml:space="preserve">¿Qué fármacos son inductores del CYP3A4?</t>
  </si>
  <si>
    <t xml:space="preserve">Tabla_de_enzimas_CYP450_Flockhart_Table.pdf, Interacciones_Farmacologicas_SEFH.pdf</t>
  </si>
  <si>
    <t xml:space="preserve">Menciona alguna de: rifampicina, rifampin, carbamazepina, carbamazepine</t>
  </si>
  <si>
    <t xml:space="preserve">Respondió desde la Tabla 8 del libro; la tabla de Flockhart no apareció.</t>
  </si>
  <si>
    <t xml:space="preserve">Escala</t>
  </si>
  <si>
    <t xml:space="preserve">¿Cómo se puntúa el PHQ-9 y cuál es el puntaje máximo?</t>
  </si>
  <si>
    <t xml:space="preserve">PHQ-9_Spanish.pdf</t>
  </si>
  <si>
    <t xml:space="preserve">Menciona alguna de: 27</t>
  </si>
  <si>
    <t xml:space="preserve">Llegó un solo fragmento del PHQ-9; el modelo dijo que no tenía el puntaje máximo.</t>
  </si>
  <si>
    <t xml:space="preserve">Caso clínico</t>
  </si>
  <si>
    <t xml:space="preserve">Un paciente con esquizofrenia tratado con clozapina deja de fumar. ¿Qué puede pasar?</t>
  </si>
  <si>
    <t xml:space="preserve">FT_Clozapina.pdf, Interacciones_Farmacologicas_SEFH.pdf</t>
  </si>
  <si>
    <t xml:space="preserve">Menciona alguna de: 1a2, aument</t>
  </si>
  <si>
    <t xml:space="preserve">Ficha de clozapina en el puesto 1; menciona CYP1A2.</t>
  </si>
  <si>
    <t xml:space="preserve">Sin respuesta</t>
  </si>
  <si>
    <t xml:space="preserve">Abstención</t>
  </si>
  <si>
    <t xml:space="preserve">¿Cuál es la dosis de esketamina para la depresión resistente?</t>
  </si>
  <si>
    <t xml:space="preserve">Ninguna (no está en los documentos)</t>
  </si>
  <si>
    <t xml:space="preserve">No da ninguna dosis (número + mg); «esketamina» no debe estar en ningún documento</t>
  </si>
  <si>
    <t xml:space="preserve">No dio ninguna dosis.</t>
  </si>
  <si>
    <t xml:space="preserve">Fuera de tema</t>
  </si>
  <si>
    <t xml:space="preserve">¿Cuál es la capital de Uruguay?</t>
  </si>
  <si>
    <t xml:space="preserve">No menciona «montevideo»; «montevideo» no debe estar en ningún documento</t>
  </si>
  <si>
    <t xml:space="preserve">No respondió con conocimiento propio.</t>
  </si>
  <si>
    <t xml:space="preserve">Resumen de resultados</t>
  </si>
  <si>
    <t xml:space="preserve">Se calcula solo a partir de las columnas amarillas de la hoja Casos.</t>
  </si>
  <si>
    <t xml:space="preserve">Medida</t>
  </si>
  <si>
    <t xml:space="preserve">Evaluados</t>
  </si>
  <si>
    <t xml:space="preserve">Porcentaje</t>
  </si>
  <si>
    <t xml:space="preserve">Qué mide</t>
  </si>
  <si>
    <t xml:space="preserve">La búsqueda encuentra la tabla del libro de interacciones</t>
  </si>
  <si>
    <t xml:space="preserve">La búsqueda encuentra una fuente válida</t>
  </si>
  <si>
    <t xml:space="preserve">Respuesta y abstención</t>
  </si>
  <si>
    <t xml:space="preserve">La respuesta trae las palabras clave, o se abstiene cuando debe</t>
  </si>
  <si>
    <t xml:space="preserve">Errores del proveedor (no cuentan como fallo)</t>
  </si>
  <si>
    <t xml:space="preserve">Historial de ejecuciones de probar_rag.py</t>
  </si>
  <si>
    <t xml:space="preserve">Agrega una fila por cada ejecución con --llm, después de cada cambio importante.</t>
  </si>
  <si>
    <t xml:space="preserve">Fecha</t>
  </si>
  <si>
    <t xml:space="preserve">Cambio probado</t>
  </si>
  <si>
    <t xml:space="preserve">Modelo</t>
  </si>
  <si>
    <t xml:space="preserve">Commit</t>
  </si>
  <si>
    <t xml:space="preserve">27/10/2026</t>
  </si>
  <si>
    <t xml:space="preserve">Línea de base: tablas por filas y categorías, cupo proporcional, 59 documentos</t>
  </si>
  <si>
    <t xml:space="preserve">Gemini (anotar si fue 3.8-flash o 3.5-flash-lite)</t>
  </si>
  <si>
    <t xml:space="preserve">7/7</t>
  </si>
  <si>
    <t xml:space="preserve">16/17</t>
  </si>
  <si>
    <t xml:space="preserve">12/17</t>
  </si>
  <si>
    <t xml:space="preserve">2/2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</si>
</sst>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7E9EC"/>
        <bgColor rgb="FFD9EAD3"/>
      </patternFill>
    </fill>
    <fill>
      <patternFill patternType="solid">
        <fgColor rgb="FFFFF2CC"/>
        <bgColor rgb="FFE7E9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D9EAD3"/>
        </patternFill>
      </fill>
    </dxf>
    <dxf>
      <fill>
        <patternFill>
          <bgColor rgb="FFF4CCCC"/>
        </patternFill>
      </fill>
    </dxf>
  </dxfs>
  <colors>
    <indexedColors>
      <rgbColor rgb="FF000000"/>
      <rgbColor rgb="FFE7E9EC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8"/>
    <col collapsed="false" customWidth="true" hidden="false" outlineLevel="0" max="3" min="3" style="1" width="11"/>
    <col collapsed="false" customWidth="true" hidden="false" outlineLevel="0" max="4" min="4" style="1" width="48"/>
    <col collapsed="false" customWidth="true" hidden="false" outlineLevel="0" max="6" min="5" style="1" width="34"/>
    <col collapsed="false" customWidth="true" hidden="false" outlineLevel="0" max="7" min="7" style="1" width="38"/>
    <col collapsed="false" customWidth="true" hidden="false" outlineLevel="0" max="8" min="8" style="1" width="26"/>
    <col collapsed="false" customWidth="true" hidden="false" outlineLevel="0" max="10" min="9" style="1" width="9"/>
    <col collapsed="false" customWidth="true" hidden="false" outlineLevel="0" max="11" min="11" style="1" width="11"/>
    <col collapsed="false" customWidth="true" hidden="false" outlineLevel="0" max="12" min="12" style="1" width="30"/>
  </cols>
  <sheetData>
    <row r="1" customFormat="false" ht="17.25" hidden="false" customHeight="true" outlineLevel="0" collapsed="false">
      <c r="A1" s="2" t="s">
        <v>0</v>
      </c>
    </row>
    <row r="2" customFormat="false" ht="30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15" hidden="false" customHeight="false" outlineLevel="0" collapsed="false">
      <c r="A3" s="4" t="s">
        <v>2</v>
      </c>
    </row>
    <row r="4" customFormat="false" ht="15" hidden="false" customHeight="true" outlineLevel="0" collapsed="false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6" t="s">
        <v>13</v>
      </c>
      <c r="L4" s="6" t="s">
        <v>14</v>
      </c>
    </row>
    <row r="5" customFormat="false" ht="23.25" hidden="false" customHeight="true" outlineLevel="0" collapsed="false">
      <c r="A5" s="7" t="n">
        <v>1</v>
      </c>
      <c r="B5" s="7" t="s">
        <v>15</v>
      </c>
      <c r="C5" s="7" t="s">
        <v>11</v>
      </c>
      <c r="D5" s="7" t="s">
        <v>16</v>
      </c>
      <c r="E5" s="7" t="s">
        <v>17</v>
      </c>
      <c r="F5" s="7" t="s">
        <v>18</v>
      </c>
      <c r="G5" s="7" t="s">
        <v>19</v>
      </c>
      <c r="H5" s="7" t="s">
        <v>20</v>
      </c>
      <c r="I5" s="8" t="s">
        <v>21</v>
      </c>
      <c r="J5" s="8" t="s">
        <v>21</v>
      </c>
      <c r="K5" s="8" t="s">
        <v>21</v>
      </c>
      <c r="L5" s="7" t="s">
        <v>22</v>
      </c>
    </row>
    <row r="6" customFormat="false" ht="23.25" hidden="false" customHeight="true" outlineLevel="0" collapsed="false">
      <c r="A6" s="7" t="n">
        <v>2</v>
      </c>
      <c r="B6" s="7" t="s">
        <v>15</v>
      </c>
      <c r="C6" s="7" t="s">
        <v>11</v>
      </c>
      <c r="D6" s="7" t="s">
        <v>23</v>
      </c>
      <c r="E6" s="7" t="s">
        <v>17</v>
      </c>
      <c r="F6" s="7" t="s">
        <v>24</v>
      </c>
      <c r="G6" s="7" t="s">
        <v>25</v>
      </c>
      <c r="H6" s="7" t="s">
        <v>20</v>
      </c>
      <c r="I6" s="8" t="s">
        <v>21</v>
      </c>
      <c r="J6" s="8" t="s">
        <v>21</v>
      </c>
      <c r="K6" s="8" t="s">
        <v>21</v>
      </c>
      <c r="L6" s="7" t="s">
        <v>26</v>
      </c>
    </row>
    <row r="7" customFormat="false" ht="23.25" hidden="false" customHeight="true" outlineLevel="0" collapsed="false">
      <c r="A7" s="7" t="n">
        <v>3</v>
      </c>
      <c r="B7" s="7" t="s">
        <v>15</v>
      </c>
      <c r="C7" s="7" t="s">
        <v>11</v>
      </c>
      <c r="D7" s="7" t="s">
        <v>27</v>
      </c>
      <c r="E7" s="7" t="s">
        <v>17</v>
      </c>
      <c r="F7" s="7" t="s">
        <v>28</v>
      </c>
      <c r="G7" s="7" t="s">
        <v>29</v>
      </c>
      <c r="H7" s="7" t="s">
        <v>20</v>
      </c>
      <c r="I7" s="8" t="s">
        <v>21</v>
      </c>
      <c r="J7" s="8" t="s">
        <v>21</v>
      </c>
      <c r="K7" s="8" t="s">
        <v>21</v>
      </c>
      <c r="L7" s="7" t="s">
        <v>30</v>
      </c>
    </row>
    <row r="8" customFormat="false" ht="23.25" hidden="false" customHeight="true" outlineLevel="0" collapsed="false">
      <c r="A8" s="7" t="n">
        <v>4</v>
      </c>
      <c r="B8" s="7" t="s">
        <v>15</v>
      </c>
      <c r="C8" s="7" t="s">
        <v>11</v>
      </c>
      <c r="D8" s="7" t="s">
        <v>31</v>
      </c>
      <c r="E8" s="7" t="s">
        <v>32</v>
      </c>
      <c r="F8" s="7" t="s">
        <v>33</v>
      </c>
      <c r="G8" s="7" t="s">
        <v>34</v>
      </c>
      <c r="H8" s="7" t="s">
        <v>20</v>
      </c>
      <c r="I8" s="8" t="s">
        <v>21</v>
      </c>
      <c r="J8" s="8" t="s">
        <v>21</v>
      </c>
      <c r="K8" s="8" t="s">
        <v>21</v>
      </c>
      <c r="L8" s="7" t="s">
        <v>35</v>
      </c>
    </row>
    <row r="9" customFormat="false" ht="23.25" hidden="false" customHeight="true" outlineLevel="0" collapsed="false">
      <c r="A9" s="7" t="n">
        <v>5</v>
      </c>
      <c r="B9" s="7" t="s">
        <v>15</v>
      </c>
      <c r="C9" s="7" t="s">
        <v>11</v>
      </c>
      <c r="D9" s="7" t="s">
        <v>36</v>
      </c>
      <c r="E9" s="7" t="s">
        <v>37</v>
      </c>
      <c r="F9" s="7" t="s">
        <v>38</v>
      </c>
      <c r="G9" s="7" t="s">
        <v>39</v>
      </c>
      <c r="H9" s="7" t="s">
        <v>20</v>
      </c>
      <c r="I9" s="8" t="s">
        <v>21</v>
      </c>
      <c r="J9" s="8" t="s">
        <v>21</v>
      </c>
      <c r="K9" s="8" t="s">
        <v>21</v>
      </c>
      <c r="L9" s="7" t="s">
        <v>40</v>
      </c>
    </row>
    <row r="10" customFormat="false" ht="23.25" hidden="false" customHeight="true" outlineLevel="0" collapsed="false">
      <c r="A10" s="7" t="n">
        <v>6</v>
      </c>
      <c r="B10" s="7" t="s">
        <v>15</v>
      </c>
      <c r="C10" s="7" t="s">
        <v>11</v>
      </c>
      <c r="D10" s="7" t="s">
        <v>41</v>
      </c>
      <c r="E10" s="7" t="s">
        <v>42</v>
      </c>
      <c r="F10" s="7" t="s">
        <v>43</v>
      </c>
      <c r="G10" s="7" t="s">
        <v>44</v>
      </c>
      <c r="H10" s="7" t="s">
        <v>20</v>
      </c>
      <c r="I10" s="8" t="s">
        <v>21</v>
      </c>
      <c r="J10" s="8" t="s">
        <v>21</v>
      </c>
      <c r="K10" s="8" t="s">
        <v>21</v>
      </c>
      <c r="L10" s="7" t="s">
        <v>45</v>
      </c>
    </row>
    <row r="11" customFormat="false" ht="23.25" hidden="false" customHeight="true" outlineLevel="0" collapsed="false">
      <c r="A11" s="7" t="n">
        <v>7</v>
      </c>
      <c r="B11" s="7" t="s">
        <v>15</v>
      </c>
      <c r="C11" s="7" t="s">
        <v>11</v>
      </c>
      <c r="D11" s="7" t="s">
        <v>46</v>
      </c>
      <c r="E11" s="7" t="s">
        <v>17</v>
      </c>
      <c r="F11" s="7" t="s">
        <v>47</v>
      </c>
      <c r="G11" s="7" t="s">
        <v>48</v>
      </c>
      <c r="H11" s="7" t="s">
        <v>20</v>
      </c>
      <c r="I11" s="8" t="s">
        <v>21</v>
      </c>
      <c r="J11" s="8" t="s">
        <v>21</v>
      </c>
      <c r="K11" s="8" t="s">
        <v>21</v>
      </c>
      <c r="L11" s="7" t="s">
        <v>49</v>
      </c>
    </row>
    <row r="12" customFormat="false" ht="23.25" hidden="false" customHeight="true" outlineLevel="0" collapsed="false">
      <c r="A12" s="7" t="n">
        <v>8</v>
      </c>
      <c r="B12" s="7" t="s">
        <v>50</v>
      </c>
      <c r="C12" s="7" t="s">
        <v>12</v>
      </c>
      <c r="D12" s="7" t="s">
        <v>51</v>
      </c>
      <c r="E12" s="7" t="s">
        <v>52</v>
      </c>
      <c r="F12" s="7" t="s">
        <v>53</v>
      </c>
      <c r="G12" s="7" t="s">
        <v>54</v>
      </c>
      <c r="H12" s="7" t="s">
        <v>20</v>
      </c>
      <c r="I12" s="7" t="s">
        <v>55</v>
      </c>
      <c r="J12" s="8" t="s">
        <v>21</v>
      </c>
      <c r="K12" s="8" t="s">
        <v>21</v>
      </c>
      <c r="L12" s="7" t="s">
        <v>56</v>
      </c>
    </row>
    <row r="13" customFormat="false" ht="23.25" hidden="false" customHeight="true" outlineLevel="0" collapsed="false">
      <c r="A13" s="7" t="n">
        <v>9</v>
      </c>
      <c r="B13" s="7" t="s">
        <v>57</v>
      </c>
      <c r="C13" s="7" t="s">
        <v>12</v>
      </c>
      <c r="D13" s="7" t="s">
        <v>58</v>
      </c>
      <c r="E13" s="7" t="s">
        <v>59</v>
      </c>
      <c r="F13" s="7" t="s">
        <v>53</v>
      </c>
      <c r="G13" s="7" t="s">
        <v>60</v>
      </c>
      <c r="H13" s="7" t="s">
        <v>20</v>
      </c>
      <c r="I13" s="7" t="s">
        <v>55</v>
      </c>
      <c r="J13" s="8" t="s">
        <v>21</v>
      </c>
      <c r="K13" s="8" t="s">
        <v>61</v>
      </c>
      <c r="L13" s="7" t="s">
        <v>62</v>
      </c>
    </row>
    <row r="14" customFormat="false" ht="23.25" hidden="false" customHeight="true" outlineLevel="0" collapsed="false">
      <c r="A14" s="7" t="n">
        <v>10</v>
      </c>
      <c r="B14" s="7" t="s">
        <v>63</v>
      </c>
      <c r="C14" s="7" t="s">
        <v>12</v>
      </c>
      <c r="D14" s="7" t="s">
        <v>64</v>
      </c>
      <c r="E14" s="7" t="s">
        <v>65</v>
      </c>
      <c r="F14" s="7" t="s">
        <v>53</v>
      </c>
      <c r="G14" s="7" t="s">
        <v>66</v>
      </c>
      <c r="H14" s="7" t="s">
        <v>20</v>
      </c>
      <c r="I14" s="7" t="s">
        <v>55</v>
      </c>
      <c r="J14" s="8" t="s">
        <v>21</v>
      </c>
      <c r="K14" s="8" t="s">
        <v>21</v>
      </c>
      <c r="L14" s="7" t="s">
        <v>67</v>
      </c>
    </row>
    <row r="15" customFormat="false" ht="23.25" hidden="false" customHeight="true" outlineLevel="0" collapsed="false">
      <c r="A15" s="7" t="n">
        <v>11</v>
      </c>
      <c r="B15" s="7" t="s">
        <v>68</v>
      </c>
      <c r="C15" s="7" t="s">
        <v>12</v>
      </c>
      <c r="D15" s="7" t="s">
        <v>69</v>
      </c>
      <c r="E15" s="7" t="s">
        <v>70</v>
      </c>
      <c r="F15" s="7" t="s">
        <v>53</v>
      </c>
      <c r="G15" s="7" t="s">
        <v>71</v>
      </c>
      <c r="H15" s="7" t="s">
        <v>20</v>
      </c>
      <c r="I15" s="7" t="s">
        <v>55</v>
      </c>
      <c r="J15" s="8" t="s">
        <v>21</v>
      </c>
      <c r="K15" s="8" t="s">
        <v>21</v>
      </c>
      <c r="L15" s="7" t="s">
        <v>72</v>
      </c>
    </row>
    <row r="16" customFormat="false" ht="23.25" hidden="false" customHeight="true" outlineLevel="0" collapsed="false">
      <c r="A16" s="7" t="n">
        <v>12</v>
      </c>
      <c r="B16" s="7" t="s">
        <v>73</v>
      </c>
      <c r="C16" s="7" t="s">
        <v>12</v>
      </c>
      <c r="D16" s="7" t="s">
        <v>74</v>
      </c>
      <c r="E16" s="7" t="s">
        <v>75</v>
      </c>
      <c r="F16" s="7" t="s">
        <v>53</v>
      </c>
      <c r="G16" s="7" t="s">
        <v>76</v>
      </c>
      <c r="H16" s="7" t="s">
        <v>77</v>
      </c>
      <c r="I16" s="7" t="s">
        <v>55</v>
      </c>
      <c r="J16" s="8" t="s">
        <v>61</v>
      </c>
      <c r="K16" s="8" t="s">
        <v>61</v>
      </c>
      <c r="L16" s="7" t="s">
        <v>78</v>
      </c>
    </row>
    <row r="17" customFormat="false" ht="23.25" hidden="false" customHeight="true" outlineLevel="0" collapsed="false">
      <c r="A17" s="7" t="n">
        <v>13</v>
      </c>
      <c r="B17" s="7" t="s">
        <v>79</v>
      </c>
      <c r="C17" s="7" t="s">
        <v>12</v>
      </c>
      <c r="D17" s="7" t="s">
        <v>80</v>
      </c>
      <c r="E17" s="7" t="s">
        <v>81</v>
      </c>
      <c r="F17" s="7" t="s">
        <v>53</v>
      </c>
      <c r="G17" s="7" t="s">
        <v>82</v>
      </c>
      <c r="H17" s="7" t="s">
        <v>20</v>
      </c>
      <c r="I17" s="7" t="s">
        <v>55</v>
      </c>
      <c r="J17" s="8" t="s">
        <v>21</v>
      </c>
      <c r="K17" s="8" t="s">
        <v>61</v>
      </c>
      <c r="L17" s="7" t="s">
        <v>83</v>
      </c>
    </row>
    <row r="18" customFormat="false" ht="23.25" hidden="false" customHeight="true" outlineLevel="0" collapsed="false">
      <c r="A18" s="7" t="n">
        <v>14</v>
      </c>
      <c r="B18" s="7" t="s">
        <v>84</v>
      </c>
      <c r="C18" s="7" t="s">
        <v>12</v>
      </c>
      <c r="D18" s="7" t="s">
        <v>85</v>
      </c>
      <c r="E18" s="7" t="s">
        <v>86</v>
      </c>
      <c r="F18" s="7" t="s">
        <v>53</v>
      </c>
      <c r="G18" s="7" t="s">
        <v>87</v>
      </c>
      <c r="H18" s="7" t="s">
        <v>20</v>
      </c>
      <c r="I18" s="7" t="s">
        <v>55</v>
      </c>
      <c r="J18" s="8" t="s">
        <v>21</v>
      </c>
      <c r="K18" s="8" t="s">
        <v>61</v>
      </c>
      <c r="L18" s="7" t="s">
        <v>88</v>
      </c>
    </row>
    <row r="19" customFormat="false" ht="34.5" hidden="false" customHeight="true" outlineLevel="0" collapsed="false">
      <c r="A19" s="7" t="n">
        <v>15</v>
      </c>
      <c r="B19" s="7" t="s">
        <v>89</v>
      </c>
      <c r="C19" s="7" t="s">
        <v>12</v>
      </c>
      <c r="D19" s="7" t="s">
        <v>90</v>
      </c>
      <c r="E19" s="7" t="s">
        <v>91</v>
      </c>
      <c r="F19" s="7" t="s">
        <v>53</v>
      </c>
      <c r="G19" s="7" t="s">
        <v>92</v>
      </c>
      <c r="H19" s="7" t="s">
        <v>20</v>
      </c>
      <c r="I19" s="7" t="s">
        <v>55</v>
      </c>
      <c r="J19" s="8" t="s">
        <v>21</v>
      </c>
      <c r="K19" s="8" t="s">
        <v>21</v>
      </c>
      <c r="L19" s="7" t="s">
        <v>93</v>
      </c>
    </row>
    <row r="20" customFormat="false" ht="23.25" hidden="false" customHeight="true" outlineLevel="0" collapsed="false">
      <c r="A20" s="7" t="n">
        <v>16</v>
      </c>
      <c r="B20" s="7" t="s">
        <v>94</v>
      </c>
      <c r="C20" s="7" t="s">
        <v>12</v>
      </c>
      <c r="D20" s="7" t="s">
        <v>95</v>
      </c>
      <c r="E20" s="7" t="s">
        <v>96</v>
      </c>
      <c r="F20" s="7" t="s">
        <v>53</v>
      </c>
      <c r="G20" s="7" t="s">
        <v>97</v>
      </c>
      <c r="H20" s="7" t="s">
        <v>20</v>
      </c>
      <c r="I20" s="7" t="s">
        <v>55</v>
      </c>
      <c r="J20" s="8" t="s">
        <v>21</v>
      </c>
      <c r="K20" s="8" t="s">
        <v>61</v>
      </c>
      <c r="L20" s="7" t="s">
        <v>98</v>
      </c>
    </row>
    <row r="21" customFormat="false" ht="23.25" hidden="false" customHeight="true" outlineLevel="0" collapsed="false">
      <c r="A21" s="7" t="n">
        <v>17</v>
      </c>
      <c r="B21" s="7" t="s">
        <v>99</v>
      </c>
      <c r="C21" s="7" t="s">
        <v>12</v>
      </c>
      <c r="D21" s="7" t="s">
        <v>100</v>
      </c>
      <c r="E21" s="7" t="s">
        <v>101</v>
      </c>
      <c r="F21" s="7" t="s">
        <v>53</v>
      </c>
      <c r="G21" s="7" t="s">
        <v>102</v>
      </c>
      <c r="H21" s="7" t="s">
        <v>20</v>
      </c>
      <c r="I21" s="7" t="s">
        <v>55</v>
      </c>
      <c r="J21" s="8" t="s">
        <v>21</v>
      </c>
      <c r="K21" s="8" t="s">
        <v>21</v>
      </c>
      <c r="L21" s="7" t="s">
        <v>103</v>
      </c>
    </row>
    <row r="22" customFormat="false" ht="34.5" hidden="false" customHeight="true" outlineLevel="0" collapsed="false">
      <c r="A22" s="7" t="n">
        <v>18</v>
      </c>
      <c r="B22" s="7" t="s">
        <v>104</v>
      </c>
      <c r="C22" s="7" t="s">
        <v>105</v>
      </c>
      <c r="D22" s="7" t="s">
        <v>106</v>
      </c>
      <c r="E22" s="7" t="s">
        <v>107</v>
      </c>
      <c r="F22" s="7" t="s">
        <v>53</v>
      </c>
      <c r="G22" s="7" t="s">
        <v>108</v>
      </c>
      <c r="H22" s="7" t="s">
        <v>20</v>
      </c>
      <c r="I22" s="7" t="s">
        <v>55</v>
      </c>
      <c r="J22" s="7" t="s">
        <v>55</v>
      </c>
      <c r="K22" s="8" t="s">
        <v>21</v>
      </c>
      <c r="L22" s="7" t="s">
        <v>109</v>
      </c>
    </row>
    <row r="23" customFormat="false" ht="23.25" hidden="false" customHeight="true" outlineLevel="0" collapsed="false">
      <c r="A23" s="7" t="n">
        <v>19</v>
      </c>
      <c r="B23" s="7" t="s">
        <v>110</v>
      </c>
      <c r="C23" s="7" t="s">
        <v>105</v>
      </c>
      <c r="D23" s="7" t="s">
        <v>111</v>
      </c>
      <c r="E23" s="7" t="s">
        <v>107</v>
      </c>
      <c r="F23" s="7" t="s">
        <v>53</v>
      </c>
      <c r="G23" s="7" t="s">
        <v>112</v>
      </c>
      <c r="H23" s="7" t="s">
        <v>20</v>
      </c>
      <c r="I23" s="7" t="s">
        <v>55</v>
      </c>
      <c r="J23" s="7" t="s">
        <v>55</v>
      </c>
      <c r="K23" s="8" t="s">
        <v>21</v>
      </c>
      <c r="L23" s="7" t="s">
        <v>113</v>
      </c>
    </row>
  </sheetData>
  <mergeCells count="1">
    <mergeCell ref="A2:L2"/>
  </mergeCells>
  <conditionalFormatting sqref="I5:K23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"FALLA"</formula>
    </cfRule>
  </conditionalFormatting>
  <dataValidations count="1">
    <dataValidation allowBlank="true" errorStyle="stop" operator="between" showDropDown="false" showErrorMessage="false" showInputMessage="false" sqref="I5:K23" type="list">
      <formula1>"OK,FALLA,ERROR,N/A"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8"/>
    <col collapsed="false" customWidth="true" hidden="false" outlineLevel="0" max="3" min="3" style="1" width="11"/>
    <col collapsed="false" customWidth="true" hidden="false" outlineLevel="0" max="4" min="4" style="1" width="12"/>
    <col collapsed="false" customWidth="true" hidden="false" outlineLevel="0" max="5" min="5" style="1" width="58"/>
  </cols>
  <sheetData>
    <row r="1" customFormat="false" ht="17.25" hidden="false" customHeight="true" outlineLevel="0" collapsed="false">
      <c r="A1" s="2" t="s">
        <v>114</v>
      </c>
    </row>
    <row r="2" customFormat="false" ht="15" hidden="false" customHeight="true" outlineLevel="0" collapsed="false">
      <c r="A2" s="9" t="s">
        <v>115</v>
      </c>
    </row>
    <row r="4" customFormat="false" ht="15" hidden="false" customHeight="true" outlineLevel="0" collapsed="false">
      <c r="A4" s="10" t="s">
        <v>116</v>
      </c>
      <c r="B4" s="10" t="s">
        <v>21</v>
      </c>
      <c r="C4" s="10" t="s">
        <v>117</v>
      </c>
      <c r="D4" s="10" t="s">
        <v>118</v>
      </c>
      <c r="E4" s="10" t="s">
        <v>119</v>
      </c>
    </row>
    <row r="5" customFormat="false" ht="15" hidden="false" customHeight="true" outlineLevel="0" collapsed="false">
      <c r="A5" s="11" t="s">
        <v>11</v>
      </c>
      <c r="B5" s="11" t="n">
        <f aca="false">COUNTIF(Casos!I5:I23,"OK")</f>
        <v>7</v>
      </c>
      <c r="C5" s="11" t="n">
        <f aca="false">COUNTIF(Casos!I5:I23,"OK")+COUNTIF(Casos!I5:I23,"FALLA")</f>
        <v>7</v>
      </c>
      <c r="D5" s="12" t="n">
        <f aca="false">IF(C5=0,"-",B5/C5)</f>
        <v>1</v>
      </c>
      <c r="E5" s="11" t="s">
        <v>120</v>
      </c>
    </row>
    <row r="6" customFormat="false" ht="15" hidden="false" customHeight="true" outlineLevel="0" collapsed="false">
      <c r="A6" s="11" t="s">
        <v>12</v>
      </c>
      <c r="B6" s="11" t="n">
        <f aca="false">COUNTIF(Casos!J5:J23,"OK")</f>
        <v>16</v>
      </c>
      <c r="C6" s="11" t="n">
        <f aca="false">COUNTIF(Casos!J5:J23,"OK")+COUNTIF(Casos!J5:J23,"FALLA")</f>
        <v>17</v>
      </c>
      <c r="D6" s="12" t="n">
        <f aca="false">IF(C6=0,"-",B6/C6)</f>
        <v>0.941176470588235</v>
      </c>
      <c r="E6" s="11" t="s">
        <v>121</v>
      </c>
    </row>
    <row r="7" customFormat="false" ht="15" hidden="false" customHeight="true" outlineLevel="0" collapsed="false">
      <c r="A7" s="11" t="s">
        <v>122</v>
      </c>
      <c r="B7" s="11" t="n">
        <f aca="false">COUNTIF(Casos!K5:K23,"OK")</f>
        <v>14</v>
      </c>
      <c r="C7" s="11" t="n">
        <f aca="false">COUNTIF(Casos!K5:K23,"OK")+COUNTIF(Casos!K5:K23,"FALLA")</f>
        <v>19</v>
      </c>
      <c r="D7" s="12" t="n">
        <f aca="false">IF(C7=0,"-",B7/C7)</f>
        <v>0.736842105263158</v>
      </c>
      <c r="E7" s="11" t="s">
        <v>123</v>
      </c>
    </row>
    <row r="9" customFormat="false" ht="15" hidden="false" customHeight="true" outlineLevel="0" collapsed="false">
      <c r="A9" s="13" t="s">
        <v>124</v>
      </c>
      <c r="B9" s="13" t="n">
        <f aca="false">COUNTIF(Casos!K5:K23,"ERROR")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2"/>
    <col collapsed="false" customWidth="true" hidden="false" outlineLevel="0" max="3" min="3" style="0" width="30"/>
    <col collapsed="false" customWidth="true" hidden="false" outlineLevel="0" max="5" min="4" style="0" width="8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14"/>
  </cols>
  <sheetData>
    <row r="1" customFormat="false" ht="17.35" hidden="false" customHeight="false" outlineLevel="0" collapsed="false">
      <c r="A1" s="14" t="s">
        <v>125</v>
      </c>
    </row>
    <row r="2" customFormat="false" ht="15" hidden="false" customHeight="false" outlineLevel="0" collapsed="false">
      <c r="A2" s="15" t="s">
        <v>126</v>
      </c>
    </row>
    <row r="4" customFormat="false" ht="15" hidden="false" customHeight="false" outlineLevel="0" collapsed="false">
      <c r="A4" s="16" t="s">
        <v>127</v>
      </c>
      <c r="B4" s="16" t="s">
        <v>128</v>
      </c>
      <c r="C4" s="16" t="s">
        <v>129</v>
      </c>
      <c r="D4" s="16" t="s">
        <v>11</v>
      </c>
      <c r="E4" s="16" t="s">
        <v>12</v>
      </c>
      <c r="F4" s="16" t="s">
        <v>13</v>
      </c>
      <c r="G4" s="16" t="s">
        <v>105</v>
      </c>
      <c r="H4" s="16" t="s">
        <v>130</v>
      </c>
    </row>
    <row r="5" customFormat="false" ht="23.85" hidden="false" customHeight="false" outlineLevel="0" collapsed="false">
      <c r="A5" s="7" t="s">
        <v>131</v>
      </c>
      <c r="B5" s="7" t="s">
        <v>132</v>
      </c>
      <c r="C5" s="8" t="s">
        <v>133</v>
      </c>
      <c r="D5" s="7" t="s">
        <v>134</v>
      </c>
      <c r="E5" s="7" t="s">
        <v>135</v>
      </c>
      <c r="F5" s="7" t="s">
        <v>136</v>
      </c>
      <c r="G5" s="7" t="s">
        <v>137</v>
      </c>
      <c r="H5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2026-10-27T02:37:52Z</dcterms:created>
  <dc:creator>openpyxl</dc:creator>
  <dc:description/>
  <dc:language>en-US</dc:language>
  <cp:lastModifiedBy/>
  <dcterms:modified xsi:type="dcterms:W3CDTF">2026-10-27T03:06:02Z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